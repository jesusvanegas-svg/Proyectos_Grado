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di\Downloads\"/>
    </mc:Choice>
  </mc:AlternateContent>
  <xr:revisionPtr revIDLastSave="0" documentId="13_ncr:1_{B394ABEB-0638-4827-8612-893C4FD2DF03}" xr6:coauthVersionLast="47" xr6:coauthVersionMax="47" xr10:uidLastSave="{00000000-0000-0000-0000-000000000000}"/>
  <bookViews>
    <workbookView xWindow="20370" yWindow="-120" windowWidth="19440" windowHeight="14880" xr2:uid="{1BE16634-D3C8-400B-94F5-16AE5213DE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6" i="1" l="1"/>
  <c r="I27" i="1"/>
  <c r="I28" i="1"/>
  <c r="I29" i="1"/>
  <c r="I30" i="1"/>
  <c r="I31" i="1"/>
  <c r="I32" i="1"/>
  <c r="I33" i="1"/>
  <c r="I34" i="1"/>
  <c r="I35" i="1"/>
  <c r="I26" i="1"/>
  <c r="F36" i="1"/>
  <c r="F27" i="1"/>
  <c r="F28" i="1"/>
  <c r="F29" i="1"/>
  <c r="F30" i="1"/>
  <c r="F31" i="1"/>
  <c r="F32" i="1"/>
  <c r="F33" i="1"/>
  <c r="F34" i="1"/>
  <c r="F35" i="1"/>
  <c r="F26" i="1"/>
  <c r="E36" i="1"/>
  <c r="F20" i="1"/>
  <c r="F12" i="1"/>
  <c r="F13" i="1"/>
  <c r="F14" i="1"/>
  <c r="F15" i="1"/>
  <c r="F16" i="1"/>
  <c r="F17" i="1"/>
  <c r="F18" i="1"/>
  <c r="F19" i="1"/>
  <c r="E12" i="1"/>
  <c r="E13" i="1"/>
  <c r="E14" i="1"/>
  <c r="E15" i="1"/>
  <c r="E16" i="1"/>
  <c r="E17" i="1"/>
  <c r="E18" i="1"/>
  <c r="E19" i="1"/>
  <c r="E11" i="1"/>
  <c r="F11" i="1"/>
  <c r="D7" i="1"/>
  <c r="E7" i="1"/>
  <c r="D5" i="1"/>
  <c r="D6" i="1"/>
  <c r="E5" i="1"/>
  <c r="E6" i="1"/>
  <c r="E4" i="1"/>
  <c r="D4" i="1"/>
  <c r="C20" i="1"/>
  <c r="D36" i="1"/>
  <c r="K12" i="1"/>
  <c r="K13" i="1"/>
  <c r="K14" i="1"/>
  <c r="K15" i="1"/>
  <c r="K16" i="1"/>
  <c r="K17" i="1"/>
  <c r="K18" i="1"/>
  <c r="K19" i="1"/>
  <c r="K11" i="1"/>
  <c r="E20" i="1"/>
  <c r="D20" i="1"/>
  <c r="G20" i="1"/>
  <c r="I20" i="1"/>
  <c r="J19" i="1"/>
  <c r="J18" i="1"/>
  <c r="J17" i="1"/>
  <c r="J16" i="1"/>
  <c r="J15" i="1"/>
  <c r="J14" i="1"/>
  <c r="J13" i="1"/>
  <c r="J12" i="1"/>
  <c r="J11" i="1"/>
  <c r="J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Mauricio Gomez</author>
  </authors>
  <commentList>
    <comment ref="D10" authorId="0" shapeId="0" xr:uid="{53F326A6-7F12-40D8-9C51-4F5FC15977F9}">
      <text>
        <r>
          <rPr>
            <sz val="9"/>
            <color indexed="81"/>
            <rFont val="Tahoma"/>
            <family val="2"/>
          </rPr>
          <t>Según conversación con Fredi, estos minutos son de los años 2024, 2025 y 2026 (acum. agosto), 32 meses.</t>
        </r>
      </text>
    </comment>
    <comment ref="I10" authorId="0" shapeId="0" xr:uid="{AA7ECCB8-52B9-40F0-96A9-9F568A123261}">
      <text>
        <r>
          <rPr>
            <sz val="9"/>
            <color indexed="81"/>
            <rFont val="Tahoma"/>
            <family val="2"/>
          </rPr>
          <t>Se aplica tarifa costo minuto máquina (propio) año 2026.
Minutos de 32 meses, año 2024, 2025 y 2026 (acum. agosto)</t>
        </r>
      </text>
    </comment>
  </commentList>
</comments>
</file>

<file path=xl/sharedStrings.xml><?xml version="1.0" encoding="utf-8"?>
<sst xmlns="http://schemas.openxmlformats.org/spreadsheetml/2006/main" count="100" uniqueCount="91">
  <si>
    <t>Año</t>
  </si>
  <si>
    <t>Eventos (N°)</t>
  </si>
  <si>
    <t>Minutos Totales</t>
  </si>
  <si>
    <t>Horas Totales</t>
  </si>
  <si>
    <t>Media (min)</t>
  </si>
  <si>
    <t>Mediana (min)</t>
  </si>
  <si>
    <t>Impacto % del Reproceso</t>
  </si>
  <si>
    <t>27.26 min</t>
  </si>
  <si>
    <t>12.0 min</t>
  </si>
  <si>
    <t>6.68%</t>
  </si>
  <si>
    <t>21.44 min</t>
  </si>
  <si>
    <t>13.0 min</t>
  </si>
  <si>
    <t>10.45%</t>
  </si>
  <si>
    <t>25.92 min</t>
  </si>
  <si>
    <t>14.0 min</t>
  </si>
  <si>
    <t>82.86%</t>
  </si>
  <si>
    <t>Total Reproceso</t>
  </si>
  <si>
    <t>25.45 min</t>
  </si>
  <si>
    <t>100.00</t>
  </si>
  <si>
    <t xml:space="preserve">Costeo reproceso </t>
  </si>
  <si>
    <t>Máquina</t>
  </si>
  <si>
    <t>Media (min/evento)</t>
  </si>
  <si>
    <t>21.25 min</t>
  </si>
  <si>
    <t>24.88%</t>
  </si>
  <si>
    <t>78.15 min</t>
  </si>
  <si>
    <t>22.04%</t>
  </si>
  <si>
    <t>22.04 min</t>
  </si>
  <si>
    <t>21.75%</t>
  </si>
  <si>
    <t>21.02 min</t>
  </si>
  <si>
    <t>20.64%</t>
  </si>
  <si>
    <t>20.14 min</t>
  </si>
  <si>
    <t>4.08%</t>
  </si>
  <si>
    <t>22.01 min</t>
  </si>
  <si>
    <t>3.54%</t>
  </si>
  <si>
    <t>24.82 min</t>
  </si>
  <si>
    <t>1.53%</t>
  </si>
  <si>
    <t>17.14 min</t>
  </si>
  <si>
    <t>0.83%</t>
  </si>
  <si>
    <t>20.91 min</t>
  </si>
  <si>
    <t>0.71%</t>
  </si>
  <si>
    <t>Eventos</t>
  </si>
  <si>
    <t>Promedio (min)</t>
  </si>
  <si>
    <t>Impacto %</t>
  </si>
  <si>
    <t>21.01 min</t>
  </si>
  <si>
    <t>2.92%</t>
  </si>
  <si>
    <t>MIRACLE DIAM L 54 U FR/UV/REPROCESOP 21075MDE</t>
  </si>
  <si>
    <t>27.74 min</t>
  </si>
  <si>
    <t>1.90%</t>
  </si>
  <si>
    <t>REVOLUTION HL GOAT UNIC. FR/UV NEGRO</t>
  </si>
  <si>
    <t>20.92 min</t>
  </si>
  <si>
    <t>1.58%</t>
  </si>
  <si>
    <t>CUDDY DMT T EU FR/MP/UV NEGRO</t>
  </si>
  <si>
    <t>25.96 min</t>
  </si>
  <si>
    <t>1.26%</t>
  </si>
  <si>
    <t>TAPIHINO PRIMARIO 534W GR FR/CC/LF/UV M/B 16053REPROCESOO</t>
  </si>
  <si>
    <t>32.18 min</t>
  </si>
  <si>
    <t>1.21%</t>
  </si>
  <si>
    <t>GLAREGOW NORMAL-373 LIENZO JERRY EXP. BIC. FR 23001GB</t>
  </si>
  <si>
    <t>39.81 min</t>
  </si>
  <si>
    <t>1.07%</t>
  </si>
  <si>
    <t>32.69 min</t>
  </si>
  <si>
    <t>1.04%</t>
  </si>
  <si>
    <t>TRIBECA M-10 ECO BIC. FF/CC/UV/AREPROCESO/PF 15022</t>
  </si>
  <si>
    <t>25.95 min</t>
  </si>
  <si>
    <t>1.00%</t>
  </si>
  <si>
    <t>GLAREGOW NORMAL-373 LIENZO JERRY EXP. BIC. FR 5007GB#1</t>
  </si>
  <si>
    <t>37.83 min</t>
  </si>
  <si>
    <t>0.86%</t>
  </si>
  <si>
    <t>27.13 min</t>
  </si>
  <si>
    <t>0.84%</t>
  </si>
  <si>
    <t>TOP</t>
  </si>
  <si>
    <t xml:space="preserve">Referencia </t>
  </si>
  <si>
    <t>PRANNA MICROP. DELFIN UNIC. FR/CC/MP/UV NEGRO</t>
  </si>
  <si>
    <t>PRANNA DELFIN M-B FR/MP/UV 2709</t>
  </si>
  <si>
    <t>MICROPERFORADORA</t>
  </si>
  <si>
    <t>ESTAMPADORA I</t>
  </si>
  <si>
    <t>ESTAMPADORA III</t>
  </si>
  <si>
    <t>ESTAMPADORA II</t>
  </si>
  <si>
    <t>ESTAMPADORA IV</t>
  </si>
  <si>
    <t>CALANDRA V</t>
  </si>
  <si>
    <t>CALANDRA IV</t>
  </si>
  <si>
    <t>CALANDRA III</t>
  </si>
  <si>
    <t>LAMINADORA</t>
  </si>
  <si>
    <t>DESCRIPCIÓN MQ</t>
  </si>
  <si>
    <t>PRANNA DELFIN BC U FR/MP/UV 7377</t>
  </si>
  <si>
    <t xml:space="preserve">TOTALES </t>
  </si>
  <si>
    <t>Dias</t>
  </si>
  <si>
    <t>Horas</t>
  </si>
  <si>
    <t xml:space="preserve">TOTAL </t>
  </si>
  <si>
    <t xml:space="preserve">Costo Minuto </t>
  </si>
  <si>
    <t>Costo equivalente
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</si>
</sst>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9" formatCode="_-* #,##0_-;\-* #,##0_-;_-* &quot;-&quot;??_-;_-@_-"/>
    <numFmt numFmtId="171" formatCode="_-&quot;$&quot;\ * #,##0_-;\-&quot;$&quot;\ * #,##0_-;_-&quot;$&quot;\ 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ptos Narrow"/>
      <family val="2"/>
      <scheme val="minor"/>
    </font>
    <font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4C7C5"/>
      </left>
      <right/>
      <top/>
      <bottom/>
      <diagonal/>
    </border>
    <border>
      <left/>
      <right style="medium">
        <color rgb="FFC4C7C5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1" fontId="0" fillId="0" borderId="0" xfId="0" applyNumberFormat="1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0" fontId="0" fillId="0" borderId="1" xfId="0" applyBorder="1"/>
    <xf numFmtId="169" fontId="1" fillId="0" borderId="1" xfId="1" applyNumberFormat="1" applyFont="1" applyBorder="1" applyAlignment="1">
      <alignment horizontal="center" vertical="center" wrapText="1"/>
    </xf>
    <xf numFmtId="169" fontId="1" fillId="0" borderId="0" xfId="1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9" fontId="2" fillId="2" borderId="1" xfId="1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 vertical="center" wrapText="1"/>
    </xf>
    <xf numFmtId="1" fontId="2" fillId="2" borderId="8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/>
    <xf numFmtId="1" fontId="6" fillId="2" borderId="1" xfId="0" applyNumberFormat="1" applyFont="1" applyFill="1" applyBorder="1" applyAlignment="1">
      <alignment horizontal="center"/>
    </xf>
    <xf numFmtId="1" fontId="6" fillId="2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6" fillId="0" borderId="1" xfId="0" applyNumberFormat="1" applyFont="1" applyBorder="1" applyAlignment="1">
      <alignment vertical="center"/>
    </xf>
    <xf numFmtId="171" fontId="1" fillId="2" borderId="1" xfId="2" applyNumberFormat="1" applyFont="1" applyFill="1" applyBorder="1" applyAlignment="1">
      <alignment horizontal="center" vertical="center" wrapText="1"/>
    </xf>
    <xf numFmtId="44" fontId="0" fillId="2" borderId="1" xfId="2" applyFont="1" applyFill="1" applyBorder="1"/>
    <xf numFmtId="44" fontId="0" fillId="2" borderId="7" xfId="2" applyFont="1" applyFill="1" applyBorder="1"/>
    <xf numFmtId="171" fontId="1" fillId="2" borderId="2" xfId="2" applyNumberFormat="1" applyFont="1" applyFill="1" applyBorder="1" applyAlignment="1">
      <alignment horizontal="center" vertical="center" wrapText="1"/>
    </xf>
    <xf numFmtId="171" fontId="1" fillId="2" borderId="0" xfId="2" applyNumberFormat="1" applyFont="1" applyFill="1" applyBorder="1" applyAlignment="1">
      <alignment horizontal="center" vertical="center" wrapText="1"/>
    </xf>
    <xf numFmtId="171" fontId="2" fillId="2" borderId="1" xfId="2" applyNumberFormat="1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 vertical="center" wrapText="1"/>
    </xf>
    <xf numFmtId="1" fontId="7" fillId="0" borderId="5" xfId="0" applyNumberFormat="1" applyFont="1" applyBorder="1" applyAlignment="1">
      <alignment horizontal="center" vertical="center" wrapText="1"/>
    </xf>
    <xf numFmtId="1" fontId="8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8" fillId="0" borderId="10" xfId="0" applyFont="1" applyBorder="1"/>
    <xf numFmtId="1" fontId="7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8" fillId="0" borderId="0" xfId="0" applyNumberFormat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wrapText="1"/>
    </xf>
    <xf numFmtId="1" fontId="8" fillId="0" borderId="0" xfId="1" applyNumberFormat="1" applyFont="1" applyBorder="1" applyAlignment="1">
      <alignment horizontal="center" vertical="center" wrapText="1"/>
    </xf>
    <xf numFmtId="1" fontId="7" fillId="2" borderId="4" xfId="0" applyNumberFormat="1" applyFont="1" applyFill="1" applyBorder="1" applyAlignment="1">
      <alignment horizontal="center" vertical="center"/>
    </xf>
    <xf numFmtId="1" fontId="7" fillId="2" borderId="5" xfId="0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/>
    <xf numFmtId="44" fontId="8" fillId="0" borderId="1" xfId="2" applyFont="1" applyBorder="1"/>
    <xf numFmtId="1" fontId="7" fillId="0" borderId="13" xfId="0" applyNumberFormat="1" applyFont="1" applyBorder="1" applyAlignment="1">
      <alignment horizontal="center" vertical="center"/>
    </xf>
    <xf numFmtId="44" fontId="7" fillId="0" borderId="1" xfId="2" applyFont="1" applyBorder="1" applyAlignment="1">
      <alignment horizontal="center" vertical="center" wrapText="1"/>
    </xf>
    <xf numFmtId="44" fontId="8" fillId="0" borderId="1" xfId="2" applyFont="1" applyBorder="1" applyAlignment="1">
      <alignment horizontal="center" vertical="center" wrapText="1"/>
    </xf>
    <xf numFmtId="44" fontId="7" fillId="2" borderId="11" xfId="2" applyFont="1" applyFill="1" applyBorder="1"/>
    <xf numFmtId="1" fontId="7" fillId="2" borderId="1" xfId="1" applyNumberFormat="1" applyFont="1" applyFill="1" applyBorder="1" applyAlignment="1">
      <alignment horizontal="center" vertical="center"/>
    </xf>
    <xf numFmtId="169" fontId="7" fillId="2" borderId="1" xfId="1" applyNumberFormat="1" applyFont="1" applyFill="1" applyBorder="1" applyAlignment="1">
      <alignment horizontal="center" vertical="center"/>
    </xf>
    <xf numFmtId="1" fontId="7" fillId="2" borderId="6" xfId="1" applyNumberFormat="1" applyFont="1" applyFill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left" vertical="center" wrapText="1"/>
    </xf>
    <xf numFmtId="1" fontId="8" fillId="0" borderId="5" xfId="0" applyNumberFormat="1" applyFont="1" applyBorder="1" applyAlignment="1">
      <alignment horizontal="left" vertical="center" wrapText="1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D9FBE-78F9-4588-8DE0-A21E578BC410}">
  <dimension ref="A2:K67"/>
  <sheetViews>
    <sheetView tabSelected="1" topLeftCell="A8" workbookViewId="0">
      <selection activeCell="C22" sqref="C22"/>
    </sheetView>
  </sheetViews>
  <sheetFormatPr baseColWidth="10" defaultRowHeight="15" x14ac:dyDescent="0.25"/>
  <cols>
    <col min="1" max="1" width="25.28515625" customWidth="1"/>
    <col min="2" max="2" width="20.5703125" customWidth="1"/>
    <col min="3" max="3" width="24.28515625" style="5" customWidth="1"/>
    <col min="4" max="4" width="14.140625" style="4" customWidth="1"/>
    <col min="5" max="5" width="17.7109375" style="4" customWidth="1"/>
    <col min="6" max="6" width="19.140625" style="4" customWidth="1"/>
    <col min="7" max="7" width="17.5703125" style="4" customWidth="1"/>
    <col min="8" max="8" width="23.140625" style="4" customWidth="1"/>
    <col min="9" max="9" width="25.5703125" style="4" customWidth="1"/>
    <col min="10" max="10" width="21.7109375" style="4" customWidth="1"/>
    <col min="11" max="11" width="16.5703125" customWidth="1"/>
  </cols>
  <sheetData>
    <row r="2" spans="1:11" ht="15.75" thickBot="1" x14ac:dyDescent="0.3"/>
    <row r="3" spans="1:11" ht="30.75" thickBot="1" x14ac:dyDescent="0.3">
      <c r="A3" s="6" t="s">
        <v>0</v>
      </c>
      <c r="B3" s="7" t="s">
        <v>1</v>
      </c>
      <c r="C3" s="7" t="s">
        <v>2</v>
      </c>
      <c r="D3" s="7" t="s">
        <v>87</v>
      </c>
      <c r="E3" s="7" t="s">
        <v>86</v>
      </c>
      <c r="F3" s="7" t="s">
        <v>4</v>
      </c>
      <c r="G3" s="7" t="s">
        <v>5</v>
      </c>
      <c r="H3" s="7" t="s">
        <v>6</v>
      </c>
    </row>
    <row r="4" spans="1:11" ht="15.75" thickBot="1" x14ac:dyDescent="0.3">
      <c r="A4" s="6">
        <v>2024</v>
      </c>
      <c r="B4" s="11">
        <v>247</v>
      </c>
      <c r="C4" s="11">
        <v>6732</v>
      </c>
      <c r="D4" s="13">
        <f>C4/60</f>
        <v>112.2</v>
      </c>
      <c r="E4" s="9">
        <f>+D4/24</f>
        <v>4.6749999999999998</v>
      </c>
      <c r="F4" s="13" t="s">
        <v>7</v>
      </c>
      <c r="G4" s="13" t="s">
        <v>8</v>
      </c>
      <c r="H4" s="16" t="s">
        <v>9</v>
      </c>
    </row>
    <row r="5" spans="1:11" ht="15.75" thickBot="1" x14ac:dyDescent="0.3">
      <c r="A5" s="6">
        <v>2025</v>
      </c>
      <c r="B5" s="12">
        <v>491</v>
      </c>
      <c r="C5" s="11">
        <v>10527</v>
      </c>
      <c r="D5" s="13">
        <f t="shared" ref="D5:D7" si="0">C5/60</f>
        <v>175.45</v>
      </c>
      <c r="E5" s="9">
        <f t="shared" ref="E5:E7" si="1">+D5/24</f>
        <v>7.3104166666666659</v>
      </c>
      <c r="F5" s="13" t="s">
        <v>10</v>
      </c>
      <c r="G5" s="13" t="s">
        <v>11</v>
      </c>
      <c r="H5" s="13" t="s">
        <v>12</v>
      </c>
    </row>
    <row r="6" spans="1:11" ht="15.75" thickBot="1" x14ac:dyDescent="0.3">
      <c r="A6" s="6">
        <v>2026</v>
      </c>
      <c r="B6" s="11">
        <v>3219</v>
      </c>
      <c r="C6" s="11">
        <v>83449</v>
      </c>
      <c r="D6" s="13">
        <f t="shared" si="0"/>
        <v>1390.8166666666666</v>
      </c>
      <c r="E6" s="9">
        <f t="shared" si="1"/>
        <v>57.950694444444444</v>
      </c>
      <c r="F6" s="13" t="s">
        <v>13</v>
      </c>
      <c r="G6" s="15" t="s">
        <v>14</v>
      </c>
      <c r="H6" s="13" t="s">
        <v>15</v>
      </c>
    </row>
    <row r="7" spans="1:11" ht="15.75" thickBot="1" x14ac:dyDescent="0.3">
      <c r="A7" s="22" t="s">
        <v>16</v>
      </c>
      <c r="B7" s="23">
        <v>3957</v>
      </c>
      <c r="C7" s="23">
        <v>100708</v>
      </c>
      <c r="D7" s="24">
        <f>C7/60</f>
        <v>1678.4666666666667</v>
      </c>
      <c r="E7" s="25">
        <f>+D7/24</f>
        <v>69.936111111111117</v>
      </c>
      <c r="F7" s="26" t="s">
        <v>17</v>
      </c>
      <c r="G7" s="26" t="s">
        <v>14</v>
      </c>
      <c r="H7" s="27" t="s">
        <v>18</v>
      </c>
    </row>
    <row r="8" spans="1:11" ht="15.75" thickBot="1" x14ac:dyDescent="0.3">
      <c r="A8" s="10"/>
      <c r="B8" s="10"/>
      <c r="C8" s="9"/>
      <c r="D8" s="8"/>
      <c r="E8" s="8"/>
      <c r="F8" s="8"/>
      <c r="G8" s="8"/>
      <c r="H8" s="8"/>
    </row>
    <row r="9" spans="1:11" ht="15.75" thickBot="1" x14ac:dyDescent="0.3"/>
    <row r="10" spans="1:11" ht="30.75" thickBot="1" x14ac:dyDescent="0.3">
      <c r="A10" s="6" t="s">
        <v>83</v>
      </c>
      <c r="B10" s="6" t="s">
        <v>20</v>
      </c>
      <c r="C10" s="7" t="s">
        <v>1</v>
      </c>
      <c r="D10" s="7" t="s">
        <v>2</v>
      </c>
      <c r="E10" s="7" t="s">
        <v>3</v>
      </c>
      <c r="F10" s="7" t="s">
        <v>86</v>
      </c>
      <c r="G10" s="7" t="s">
        <v>21</v>
      </c>
      <c r="H10" s="7" t="s">
        <v>6</v>
      </c>
      <c r="I10" s="7" t="s">
        <v>19</v>
      </c>
      <c r="J10" s="7" t="s">
        <v>90</v>
      </c>
      <c r="K10" s="33" t="s">
        <v>89</v>
      </c>
    </row>
    <row r="11" spans="1:11" ht="15.75" thickBot="1" x14ac:dyDescent="0.3">
      <c r="A11" s="18" t="s">
        <v>75</v>
      </c>
      <c r="B11" s="6">
        <v>14</v>
      </c>
      <c r="C11" s="13">
        <v>1179</v>
      </c>
      <c r="D11" s="12">
        <v>25058</v>
      </c>
      <c r="E11" s="13">
        <f>+D11/60</f>
        <v>417.63333333333333</v>
      </c>
      <c r="F11" s="9">
        <f>+E11/24</f>
        <v>17.401388888888889</v>
      </c>
      <c r="G11" s="13" t="s">
        <v>22</v>
      </c>
      <c r="H11" s="15" t="s">
        <v>23</v>
      </c>
      <c r="I11" s="34">
        <v>143796078.607288</v>
      </c>
      <c r="J11" s="34">
        <f>+I11/(12+12+8)</f>
        <v>4493627.4564777501</v>
      </c>
      <c r="K11" s="35">
        <f>+I11/D11</f>
        <v>5738.5297552593183</v>
      </c>
    </row>
    <row r="12" spans="1:11" ht="15.75" thickBot="1" x14ac:dyDescent="0.3">
      <c r="A12" s="17" t="s">
        <v>74</v>
      </c>
      <c r="B12" s="6">
        <v>60</v>
      </c>
      <c r="C12" s="15">
        <v>284</v>
      </c>
      <c r="D12" s="11">
        <v>22195</v>
      </c>
      <c r="E12" s="14">
        <f t="shared" ref="E12:E19" si="2">+D12/60</f>
        <v>369.91666666666669</v>
      </c>
      <c r="F12" s="9">
        <f t="shared" ref="F12:F19" si="3">+E12/24</f>
        <v>15.413194444444445</v>
      </c>
      <c r="G12" s="13" t="s">
        <v>24</v>
      </c>
      <c r="H12" s="13" t="s">
        <v>25</v>
      </c>
      <c r="I12" s="34">
        <v>31048193.196129888</v>
      </c>
      <c r="J12" s="34">
        <f t="shared" ref="J12:J19" si="4">+I12/(12+12+8)</f>
        <v>970256.03737905901</v>
      </c>
      <c r="K12" s="36">
        <f>+I12/D12</f>
        <v>1398.8823246735701</v>
      </c>
    </row>
    <row r="13" spans="1:11" ht="15.75" thickBot="1" x14ac:dyDescent="0.3">
      <c r="A13" s="17" t="s">
        <v>76</v>
      </c>
      <c r="B13" s="6">
        <v>53</v>
      </c>
      <c r="C13" s="13">
        <v>994</v>
      </c>
      <c r="D13" s="11">
        <v>21904</v>
      </c>
      <c r="E13" s="13">
        <f t="shared" si="2"/>
        <v>365.06666666666666</v>
      </c>
      <c r="F13" s="9">
        <f t="shared" si="3"/>
        <v>15.21111111111111</v>
      </c>
      <c r="G13" s="13" t="s">
        <v>26</v>
      </c>
      <c r="H13" s="13" t="s">
        <v>27</v>
      </c>
      <c r="I13" s="34">
        <v>125696755.75920027</v>
      </c>
      <c r="J13" s="34">
        <f t="shared" si="4"/>
        <v>3928023.6174750086</v>
      </c>
      <c r="K13" s="35">
        <f>+I13/D13</f>
        <v>5738.5297552593256</v>
      </c>
    </row>
    <row r="14" spans="1:11" ht="15.75" thickBot="1" x14ac:dyDescent="0.3">
      <c r="A14" s="18" t="s">
        <v>77</v>
      </c>
      <c r="B14" s="6">
        <v>15</v>
      </c>
      <c r="C14" s="13">
        <v>989</v>
      </c>
      <c r="D14" s="12">
        <v>20787</v>
      </c>
      <c r="E14" s="13">
        <f t="shared" si="2"/>
        <v>346.45</v>
      </c>
      <c r="F14" s="9">
        <f t="shared" si="3"/>
        <v>14.435416666666667</v>
      </c>
      <c r="G14" s="19" t="s">
        <v>28</v>
      </c>
      <c r="H14" s="19" t="s">
        <v>29</v>
      </c>
      <c r="I14" s="37">
        <v>119286818.0225756</v>
      </c>
      <c r="J14" s="34">
        <f t="shared" si="4"/>
        <v>3727713.0632054876</v>
      </c>
      <c r="K14" s="35">
        <f>+I14/D14</f>
        <v>5738.5297552593256</v>
      </c>
    </row>
    <row r="15" spans="1:11" ht="15.75" thickBot="1" x14ac:dyDescent="0.3">
      <c r="A15" s="17" t="s">
        <v>78</v>
      </c>
      <c r="B15" s="20">
        <v>81</v>
      </c>
      <c r="C15" s="13">
        <v>204</v>
      </c>
      <c r="D15" s="11">
        <v>4108</v>
      </c>
      <c r="E15" s="14">
        <f t="shared" si="2"/>
        <v>68.466666666666669</v>
      </c>
      <c r="F15" s="9">
        <f t="shared" si="3"/>
        <v>2.8527777777777779</v>
      </c>
      <c r="G15" s="13" t="s">
        <v>30</v>
      </c>
      <c r="H15" s="13" t="s">
        <v>31</v>
      </c>
      <c r="I15" s="34">
        <v>23573880.234605309</v>
      </c>
      <c r="J15" s="34">
        <f t="shared" si="4"/>
        <v>736683.75733141589</v>
      </c>
      <c r="K15" s="35">
        <f>+I15/D15</f>
        <v>5738.5297552593256</v>
      </c>
    </row>
    <row r="16" spans="1:11" ht="15.75" thickBot="1" x14ac:dyDescent="0.3">
      <c r="A16" s="17" t="s">
        <v>79</v>
      </c>
      <c r="B16" s="6">
        <v>54</v>
      </c>
      <c r="C16" s="13">
        <v>162</v>
      </c>
      <c r="D16" s="12">
        <v>3566</v>
      </c>
      <c r="E16" s="13">
        <f t="shared" si="2"/>
        <v>59.43333333333333</v>
      </c>
      <c r="F16" s="9">
        <f t="shared" si="3"/>
        <v>2.4763888888888888</v>
      </c>
      <c r="G16" s="21" t="s">
        <v>32</v>
      </c>
      <c r="H16" s="13" t="s">
        <v>33</v>
      </c>
      <c r="I16" s="34">
        <v>8328195.0445062164</v>
      </c>
      <c r="J16" s="38">
        <f t="shared" si="4"/>
        <v>260256.09514081926</v>
      </c>
      <c r="K16" s="35">
        <f>+I16/D16</f>
        <v>2335.4444880836277</v>
      </c>
    </row>
    <row r="17" spans="1:11" ht="15.75" thickBot="1" x14ac:dyDescent="0.3">
      <c r="A17" s="18" t="s">
        <v>80</v>
      </c>
      <c r="B17" s="6">
        <v>44</v>
      </c>
      <c r="C17" s="13">
        <v>62</v>
      </c>
      <c r="D17" s="11">
        <v>1539</v>
      </c>
      <c r="E17" s="13">
        <f t="shared" si="2"/>
        <v>25.65</v>
      </c>
      <c r="F17" s="9">
        <f t="shared" si="3"/>
        <v>1.0687499999999999</v>
      </c>
      <c r="G17" s="13" t="s">
        <v>34</v>
      </c>
      <c r="H17" s="13" t="s">
        <v>35</v>
      </c>
      <c r="I17" s="38">
        <v>3594249.0671607028</v>
      </c>
      <c r="J17" s="34">
        <f t="shared" si="4"/>
        <v>112320.28334877196</v>
      </c>
      <c r="K17" s="35">
        <f>+I17/D17</f>
        <v>2335.4444880836277</v>
      </c>
    </row>
    <row r="18" spans="1:11" ht="15.75" thickBot="1" x14ac:dyDescent="0.3">
      <c r="A18" s="17" t="s">
        <v>81</v>
      </c>
      <c r="B18" s="6">
        <v>13</v>
      </c>
      <c r="C18" s="15">
        <v>49</v>
      </c>
      <c r="D18" s="11">
        <v>840</v>
      </c>
      <c r="E18" s="13">
        <f t="shared" si="2"/>
        <v>14</v>
      </c>
      <c r="F18" s="9">
        <f t="shared" si="3"/>
        <v>0.58333333333333337</v>
      </c>
      <c r="G18" s="13" t="s">
        <v>36</v>
      </c>
      <c r="H18" s="15" t="s">
        <v>37</v>
      </c>
      <c r="I18" s="34">
        <v>1961773.3699902473</v>
      </c>
      <c r="J18" s="34">
        <f t="shared" si="4"/>
        <v>61305.417812195228</v>
      </c>
      <c r="K18" s="35">
        <f>+I18/D18</f>
        <v>2335.4444880836277</v>
      </c>
    </row>
    <row r="19" spans="1:11" ht="15.75" thickBot="1" x14ac:dyDescent="0.3">
      <c r="A19" s="17" t="s">
        <v>82</v>
      </c>
      <c r="B19" s="6">
        <v>28</v>
      </c>
      <c r="C19" s="13">
        <v>34</v>
      </c>
      <c r="D19" s="11">
        <v>711</v>
      </c>
      <c r="E19" s="14">
        <f t="shared" si="2"/>
        <v>11.85</v>
      </c>
      <c r="F19" s="9">
        <f t="shared" si="3"/>
        <v>0.49374999999999997</v>
      </c>
      <c r="G19" s="21" t="s">
        <v>38</v>
      </c>
      <c r="H19" s="13" t="s">
        <v>39</v>
      </c>
      <c r="I19" s="34">
        <v>1660501.0310274593</v>
      </c>
      <c r="J19" s="34">
        <f t="shared" si="4"/>
        <v>51890.657219608103</v>
      </c>
      <c r="K19" s="36">
        <f>+I19/D19</f>
        <v>2335.4444880836277</v>
      </c>
    </row>
    <row r="20" spans="1:11" ht="15.75" thickBot="1" x14ac:dyDescent="0.3">
      <c r="A20" s="28"/>
      <c r="B20" s="31" t="s">
        <v>88</v>
      </c>
      <c r="C20" s="32">
        <f>SUM(C11:C19)</f>
        <v>3957</v>
      </c>
      <c r="D20" s="32">
        <f t="shared" ref="D20:F20" si="5">SUM(D11:D19)</f>
        <v>100708</v>
      </c>
      <c r="E20" s="32">
        <f>SUM(E11:E19)</f>
        <v>1678.4666666666667</v>
      </c>
      <c r="F20" s="32">
        <f>SUM(F11:F19)</f>
        <v>69.936111111111103</v>
      </c>
      <c r="G20" s="29">
        <f>SUM(G11:G19)</f>
        <v>0</v>
      </c>
      <c r="H20" s="30"/>
      <c r="I20" s="39">
        <f>+SUM(I11:I19)</f>
        <v>458946444.33248365</v>
      </c>
      <c r="J20" s="39">
        <f>+SUM(J11:J19)</f>
        <v>14342076.385390114</v>
      </c>
      <c r="K20" s="35"/>
    </row>
    <row r="21" spans="1:11" x14ac:dyDescent="0.25">
      <c r="D21" s="3"/>
      <c r="E21" s="3"/>
      <c r="F21" s="3"/>
      <c r="G21" s="3"/>
      <c r="H21" s="3"/>
      <c r="I21" s="3"/>
      <c r="J21" s="3"/>
      <c r="K21" s="1"/>
    </row>
    <row r="22" spans="1:11" x14ac:dyDescent="0.25">
      <c r="D22" s="3"/>
      <c r="E22" s="3"/>
      <c r="F22" s="3"/>
      <c r="G22" s="3"/>
      <c r="H22" s="3"/>
      <c r="I22" s="3"/>
      <c r="J22" s="3"/>
      <c r="K22" s="1"/>
    </row>
    <row r="23" spans="1:11" x14ac:dyDescent="0.25">
      <c r="D23" s="3"/>
      <c r="E23" s="3"/>
      <c r="F23" s="3"/>
      <c r="G23" s="3"/>
      <c r="H23" s="3"/>
      <c r="I23" s="3"/>
      <c r="J23" s="3"/>
      <c r="K23" s="1"/>
    </row>
    <row r="24" spans="1:11" ht="15.75" thickBot="1" x14ac:dyDescent="0.3"/>
    <row r="25" spans="1:11" s="2" customFormat="1" ht="45" customHeight="1" thickBot="1" x14ac:dyDescent="0.3">
      <c r="A25" s="40" t="s">
        <v>70</v>
      </c>
      <c r="B25" s="41" t="s">
        <v>71</v>
      </c>
      <c r="C25" s="42"/>
      <c r="D25" s="46" t="s">
        <v>40</v>
      </c>
      <c r="E25" s="46" t="s">
        <v>2</v>
      </c>
      <c r="F25" s="46" t="s">
        <v>3</v>
      </c>
      <c r="G25" s="46" t="s">
        <v>41</v>
      </c>
      <c r="H25" s="46" t="s">
        <v>42</v>
      </c>
      <c r="I25" s="56" t="s">
        <v>19</v>
      </c>
      <c r="J25" s="55" t="s">
        <v>89</v>
      </c>
      <c r="K25"/>
    </row>
    <row r="26" spans="1:11" s="2" customFormat="1" ht="30" customHeight="1" thickBot="1" x14ac:dyDescent="0.3">
      <c r="A26" s="44">
        <v>1</v>
      </c>
      <c r="B26" s="63" t="s">
        <v>72</v>
      </c>
      <c r="C26" s="64"/>
      <c r="D26" s="47">
        <v>140</v>
      </c>
      <c r="E26" s="47">
        <v>2942</v>
      </c>
      <c r="F26" s="47">
        <f>+E26/60</f>
        <v>49.033333333333331</v>
      </c>
      <c r="G26" s="47" t="s">
        <v>43</v>
      </c>
      <c r="H26" s="50" t="s">
        <v>44</v>
      </c>
      <c r="I26" s="57">
        <f>+E26*$J$26</f>
        <v>16882754.539972916</v>
      </c>
      <c r="J26" s="54">
        <v>5738.5297552593183</v>
      </c>
    </row>
    <row r="27" spans="1:11" s="2" customFormat="1" ht="30" customHeight="1" thickBot="1" x14ac:dyDescent="0.3">
      <c r="A27" s="44">
        <v>2</v>
      </c>
      <c r="B27" s="63" t="s">
        <v>45</v>
      </c>
      <c r="C27" s="64"/>
      <c r="D27" s="47">
        <v>69</v>
      </c>
      <c r="E27" s="47">
        <v>1914</v>
      </c>
      <c r="F27" s="47">
        <f t="shared" ref="F27:F35" si="6">+E27/60</f>
        <v>31.9</v>
      </c>
      <c r="G27" s="47" t="s">
        <v>46</v>
      </c>
      <c r="H27" s="49" t="s">
        <v>47</v>
      </c>
      <c r="I27" s="57">
        <f t="shared" ref="I27:I35" si="7">+E27*$J$26</f>
        <v>10983545.951566335</v>
      </c>
      <c r="J27" s="43"/>
    </row>
    <row r="28" spans="1:11" s="2" customFormat="1" ht="30" customHeight="1" thickBot="1" x14ac:dyDescent="0.3">
      <c r="A28" s="44">
        <v>3</v>
      </c>
      <c r="B28" s="63" t="s">
        <v>48</v>
      </c>
      <c r="C28" s="64"/>
      <c r="D28" s="47">
        <v>76</v>
      </c>
      <c r="E28" s="47">
        <v>1590</v>
      </c>
      <c r="F28" s="47">
        <f t="shared" si="6"/>
        <v>26.5</v>
      </c>
      <c r="G28" s="47" t="s">
        <v>49</v>
      </c>
      <c r="H28" s="49" t="s">
        <v>50</v>
      </c>
      <c r="I28" s="57">
        <f t="shared" si="7"/>
        <v>9124262.3108623158</v>
      </c>
      <c r="J28" s="43"/>
    </row>
    <row r="29" spans="1:11" s="2" customFormat="1" ht="30" customHeight="1" thickBot="1" x14ac:dyDescent="0.3">
      <c r="A29" s="44">
        <v>4</v>
      </c>
      <c r="B29" s="63" t="s">
        <v>51</v>
      </c>
      <c r="C29" s="64"/>
      <c r="D29" s="47">
        <v>49</v>
      </c>
      <c r="E29" s="47">
        <v>1272</v>
      </c>
      <c r="F29" s="47">
        <f t="shared" si="6"/>
        <v>21.2</v>
      </c>
      <c r="G29" s="47" t="s">
        <v>52</v>
      </c>
      <c r="H29" s="50" t="s">
        <v>53</v>
      </c>
      <c r="I29" s="57">
        <f t="shared" si="7"/>
        <v>7299409.8486898532</v>
      </c>
      <c r="J29" s="43"/>
    </row>
    <row r="30" spans="1:11" s="2" customFormat="1" ht="62.25" customHeight="1" thickBot="1" x14ac:dyDescent="0.3">
      <c r="A30" s="44">
        <v>5</v>
      </c>
      <c r="B30" s="63" t="s">
        <v>54</v>
      </c>
      <c r="C30" s="64"/>
      <c r="D30" s="47">
        <v>38</v>
      </c>
      <c r="E30" s="47">
        <v>1223</v>
      </c>
      <c r="F30" s="47">
        <f t="shared" si="6"/>
        <v>20.383333333333333</v>
      </c>
      <c r="G30" s="47" t="s">
        <v>55</v>
      </c>
      <c r="H30" s="49" t="s">
        <v>56</v>
      </c>
      <c r="I30" s="57">
        <f t="shared" si="7"/>
        <v>7018221.890682146</v>
      </c>
      <c r="J30" s="43"/>
    </row>
    <row r="31" spans="1:11" s="2" customFormat="1" ht="30" customHeight="1" thickBot="1" x14ac:dyDescent="0.3">
      <c r="A31" s="44">
        <v>6</v>
      </c>
      <c r="B31" s="63" t="s">
        <v>57</v>
      </c>
      <c r="C31" s="64"/>
      <c r="D31" s="47">
        <v>27</v>
      </c>
      <c r="E31" s="47">
        <v>1075</v>
      </c>
      <c r="F31" s="47">
        <f t="shared" si="6"/>
        <v>17.916666666666668</v>
      </c>
      <c r="G31" s="47" t="s">
        <v>58</v>
      </c>
      <c r="H31" s="49" t="s">
        <v>59</v>
      </c>
      <c r="I31" s="57">
        <f t="shared" si="7"/>
        <v>6168919.4869037671</v>
      </c>
      <c r="J31" s="43"/>
    </row>
    <row r="32" spans="1:11" s="2" customFormat="1" ht="30" customHeight="1" thickBot="1" x14ac:dyDescent="0.3">
      <c r="A32" s="44">
        <v>7</v>
      </c>
      <c r="B32" s="63" t="s">
        <v>84</v>
      </c>
      <c r="C32" s="64"/>
      <c r="D32" s="47">
        <v>32</v>
      </c>
      <c r="E32" s="47">
        <v>1046</v>
      </c>
      <c r="F32" s="47">
        <f t="shared" si="6"/>
        <v>17.433333333333334</v>
      </c>
      <c r="G32" s="62" t="s">
        <v>60</v>
      </c>
      <c r="H32" s="49" t="s">
        <v>61</v>
      </c>
      <c r="I32" s="57">
        <f t="shared" si="7"/>
        <v>6002502.1240012469</v>
      </c>
      <c r="J32" s="43"/>
    </row>
    <row r="33" spans="1:10" s="2" customFormat="1" ht="30" customHeight="1" thickBot="1" x14ac:dyDescent="0.3">
      <c r="A33" s="44">
        <v>8</v>
      </c>
      <c r="B33" s="63" t="s">
        <v>62</v>
      </c>
      <c r="C33" s="64"/>
      <c r="D33" s="47">
        <v>39</v>
      </c>
      <c r="E33" s="47">
        <v>1012</v>
      </c>
      <c r="F33" s="47">
        <f t="shared" si="6"/>
        <v>16.866666666666667</v>
      </c>
      <c r="G33" s="47" t="s">
        <v>63</v>
      </c>
      <c r="H33" s="49" t="s">
        <v>64</v>
      </c>
      <c r="I33" s="57">
        <f t="shared" si="7"/>
        <v>5807392.1123224301</v>
      </c>
      <c r="J33" s="43"/>
    </row>
    <row r="34" spans="1:10" s="2" customFormat="1" ht="30" customHeight="1" thickBot="1" x14ac:dyDescent="0.3">
      <c r="A34" s="44">
        <v>9</v>
      </c>
      <c r="B34" s="63" t="s">
        <v>65</v>
      </c>
      <c r="C34" s="64"/>
      <c r="D34" s="47">
        <v>23</v>
      </c>
      <c r="E34" s="47">
        <v>870</v>
      </c>
      <c r="F34" s="47">
        <f t="shared" si="6"/>
        <v>14.5</v>
      </c>
      <c r="G34" s="47" t="s">
        <v>66</v>
      </c>
      <c r="H34" s="50" t="s">
        <v>67</v>
      </c>
      <c r="I34" s="57">
        <f t="shared" si="7"/>
        <v>4992520.8870756067</v>
      </c>
      <c r="J34" s="43"/>
    </row>
    <row r="35" spans="1:10" s="2" customFormat="1" ht="30" customHeight="1" thickBot="1" x14ac:dyDescent="0.3">
      <c r="A35" s="44">
        <v>10</v>
      </c>
      <c r="B35" s="63" t="s">
        <v>73</v>
      </c>
      <c r="C35" s="64"/>
      <c r="D35" s="47">
        <v>31</v>
      </c>
      <c r="E35" s="47">
        <v>841</v>
      </c>
      <c r="F35" s="47">
        <f t="shared" si="6"/>
        <v>14.016666666666667</v>
      </c>
      <c r="G35" s="48" t="s">
        <v>68</v>
      </c>
      <c r="H35" s="49" t="s">
        <v>69</v>
      </c>
      <c r="I35" s="57">
        <f t="shared" si="7"/>
        <v>4826103.5241730865</v>
      </c>
      <c r="J35" s="43"/>
    </row>
    <row r="36" spans="1:10" ht="30" customHeight="1" thickBot="1" x14ac:dyDescent="0.3">
      <c r="A36" s="45"/>
      <c r="B36" s="51" t="s">
        <v>85</v>
      </c>
      <c r="C36" s="52"/>
      <c r="D36" s="59">
        <f>SUM(D26:D35)</f>
        <v>524</v>
      </c>
      <c r="E36" s="60">
        <f>SUM(E26:E35)</f>
        <v>13785</v>
      </c>
      <c r="F36" s="61">
        <f>SUM(F26:F35)</f>
        <v>229.75</v>
      </c>
      <c r="G36" s="53"/>
      <c r="H36" s="53"/>
      <c r="I36" s="58">
        <f>SUM(I26:I35)</f>
        <v>79105632.676249698</v>
      </c>
      <c r="J36" s="43"/>
    </row>
    <row r="37" spans="1:10" ht="30" customHeight="1" x14ac:dyDescent="0.25">
      <c r="C37" s="4"/>
    </row>
    <row r="38" spans="1:10" ht="30" customHeight="1" x14ac:dyDescent="0.25">
      <c r="C38" s="4"/>
    </row>
    <row r="39" spans="1:10" ht="30" customHeight="1" x14ac:dyDescent="0.25"/>
    <row r="40" spans="1:10" ht="30" customHeight="1" x14ac:dyDescent="0.25"/>
    <row r="41" spans="1:10" ht="30" customHeight="1" x14ac:dyDescent="0.25"/>
    <row r="42" spans="1:10" ht="30" customHeight="1" x14ac:dyDescent="0.25"/>
    <row r="43" spans="1:10" ht="30" customHeight="1" x14ac:dyDescent="0.25"/>
    <row r="44" spans="1:10" ht="30" customHeight="1" x14ac:dyDescent="0.25"/>
    <row r="45" spans="1:10" ht="30" customHeight="1" x14ac:dyDescent="0.25"/>
    <row r="46" spans="1:10" ht="30" customHeight="1" x14ac:dyDescent="0.25"/>
    <row r="47" spans="1:10" ht="30" customHeight="1" x14ac:dyDescent="0.25"/>
    <row r="48" spans="1:10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</sheetData>
  <mergeCells count="12"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</mergeCells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fa4b9981-f943-4b30-94ce-9224dd1768af}" enabled="1" method="Standard" siteId="{dab903cb-ca77-43e8-a406-9e396f61eb8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Fredi Armando Laiton Rodriguez</dc:creator>
  <cp:lastModifiedBy>Fredi Laiton</cp:lastModifiedBy>
  <dcterms:created xsi:type="dcterms:W3CDTF">2026-09-25T15:41:19Z</dcterms:created>
  <dcterms:modified xsi:type="dcterms:W3CDTF">2026-10-17T21:23:58Z</dcterms:modified>
</cp:coreProperties>
</file>